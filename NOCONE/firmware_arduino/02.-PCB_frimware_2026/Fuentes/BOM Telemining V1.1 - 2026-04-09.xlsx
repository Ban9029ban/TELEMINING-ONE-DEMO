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4"/>
  <workbookPr/>
  <mc:AlternateContent xmlns:mc="http://schemas.openxmlformats.org/markup-compatibility/2006">
    <mc:Choice Requires="x15">
      <x15ac:absPath xmlns:x15ac="http://schemas.microsoft.com/office/spreadsheetml/2010/11/ac" url="C:\Users\ingdi\Desktop\MCI electronics\Diseño electrónico\Tarjeta Telemining V1.1 - PCB\"/>
    </mc:Choice>
  </mc:AlternateContent>
  <xr:revisionPtr revIDLastSave="2" documentId="13_ncr:1_{E31380E0-B55C-436A-B735-F7CE2D8D16BD}" xr6:coauthVersionLast="47" xr6:coauthVersionMax="47" xr10:uidLastSave="{D13231BB-0141-4B83-93C8-AE1622CA2B20}"/>
  <bookViews>
    <workbookView xWindow="23880" yWindow="-2730" windowWidth="28110" windowHeight="16440" firstSheet="1" activeTab="1" xr2:uid="{CB5EB78B-3B05-4EB6-9835-84013DD970D7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6" i="1"/>
</calcChain>
</file>

<file path=xl/sharedStrings.xml><?xml version="1.0" encoding="utf-8"?>
<sst xmlns="http://schemas.openxmlformats.org/spreadsheetml/2006/main" count="112" uniqueCount="111">
  <si>
    <t>N° de pedido</t>
  </si>
  <si>
    <t>RUT901</t>
  </si>
  <si>
    <t>4 acel</t>
  </si>
  <si>
    <t>3 acel</t>
  </si>
  <si>
    <t>TOTAL</t>
  </si>
  <si>
    <t>BOM TELEMINING</t>
  </si>
  <si>
    <t>Fecha</t>
  </si>
  <si>
    <t>Versión</t>
  </si>
  <si>
    <t>V1.1</t>
  </si>
  <si>
    <t>Proyecto</t>
  </si>
  <si>
    <t>Tarjeta Telemining V1.0</t>
  </si>
  <si>
    <t>Encargado</t>
  </si>
  <si>
    <t>Esteban Gonzalez</t>
  </si>
  <si>
    <t>Descripción</t>
  </si>
  <si>
    <t>QTY</t>
  </si>
  <si>
    <t>Referencia</t>
  </si>
  <si>
    <t>SKU</t>
  </si>
  <si>
    <t>Conector U.FL</t>
  </si>
  <si>
    <t>ANT</t>
  </si>
  <si>
    <t>MCI03856</t>
  </si>
  <si>
    <t>Cap 10uF tantalio</t>
  </si>
  <si>
    <t>C1, C5</t>
  </si>
  <si>
    <t>TAJA106K016RNJ</t>
  </si>
  <si>
    <t>Cap 1uF 0805</t>
  </si>
  <si>
    <t>C2, C3</t>
  </si>
  <si>
    <t>CGA3E3X5R1H105K080AB</t>
  </si>
  <si>
    <t>Cap 10uF 1206</t>
  </si>
  <si>
    <t>C4</t>
  </si>
  <si>
    <t>GRM319R61E106KA12D</t>
  </si>
  <si>
    <t>Cap 10nF</t>
  </si>
  <si>
    <t>C6, C7</t>
  </si>
  <si>
    <t>CL05B103KO5NNNC</t>
  </si>
  <si>
    <t>Cap 18pF</t>
  </si>
  <si>
    <t>C8, C9</t>
  </si>
  <si>
    <t>C0603C180K4HACTU</t>
  </si>
  <si>
    <t>Cap 22uF 1206</t>
  </si>
  <si>
    <t>C10</t>
  </si>
  <si>
    <t>CL31A226KAHNNNE</t>
  </si>
  <si>
    <t>Case</t>
  </si>
  <si>
    <t>Caja</t>
  </si>
  <si>
    <t>PN-1332-DGMB</t>
  </si>
  <si>
    <t>Diodo TVS SMD SMBJ20A</t>
  </si>
  <si>
    <t>D1</t>
  </si>
  <si>
    <t>SM15T36CA</t>
  </si>
  <si>
    <t>Diodo Rectifiers</t>
  </si>
  <si>
    <t>D2, D3</t>
  </si>
  <si>
    <t>CDBA340-G</t>
  </si>
  <si>
    <t>Dusible AC</t>
  </si>
  <si>
    <t>F1</t>
  </si>
  <si>
    <t>Fusible DC</t>
  </si>
  <si>
    <t>F2</t>
  </si>
  <si>
    <t>1206L035/16YR</t>
  </si>
  <si>
    <t>Connector puch</t>
  </si>
  <si>
    <t>J1, J2</t>
  </si>
  <si>
    <t>Conector MOLEX</t>
  </si>
  <si>
    <t>J3</t>
  </si>
  <si>
    <t>Ethernet Connector</t>
  </si>
  <si>
    <t>J5</t>
  </si>
  <si>
    <t>Ferrita 10uF</t>
  </si>
  <si>
    <t>L1</t>
  </si>
  <si>
    <t>CB2012T100KR</t>
  </si>
  <si>
    <t>Módulo RF</t>
  </si>
  <si>
    <t>LD, LI (módulo LoRa)</t>
  </si>
  <si>
    <t>LoRa SX1278 SPI</t>
  </si>
  <si>
    <t>LED rojo</t>
  </si>
  <si>
    <t>PWR</t>
  </si>
  <si>
    <t>LS Q976-NR-1</t>
  </si>
  <si>
    <t>Header female</t>
  </si>
  <si>
    <t>P1, P2 (LiLyGo)</t>
  </si>
  <si>
    <t>MCI00540</t>
  </si>
  <si>
    <t>AC/DC</t>
  </si>
  <si>
    <t>PS1</t>
  </si>
  <si>
    <t>IRM-15-12</t>
  </si>
  <si>
    <t>MOSFET</t>
  </si>
  <si>
    <t>Q1, Q2</t>
  </si>
  <si>
    <t>BSS123</t>
  </si>
  <si>
    <t>Res 1K</t>
  </si>
  <si>
    <t>R1, R2, R3, R4, R5, R6, R18</t>
  </si>
  <si>
    <t>RC0603FR-071KL</t>
  </si>
  <si>
    <t>Res 2k7</t>
  </si>
  <si>
    <t>R7</t>
  </si>
  <si>
    <t>RC0603FR-072K7L</t>
  </si>
  <si>
    <t>Res 50R 1%</t>
  </si>
  <si>
    <t>R8, R9, R10, R11</t>
  </si>
  <si>
    <t>RNCP0805FTD49R9</t>
  </si>
  <si>
    <t>Res 10k</t>
  </si>
  <si>
    <t>R12, R14, R15, R16, R17, R19</t>
  </si>
  <si>
    <t>RC0603FR-0710KL</t>
  </si>
  <si>
    <t>Res 100K</t>
  </si>
  <si>
    <t>R13</t>
  </si>
  <si>
    <t>RC0603FR-07100KL</t>
  </si>
  <si>
    <t>Reg OKI</t>
  </si>
  <si>
    <t>U1</t>
  </si>
  <si>
    <t>OKI-78SR TH</t>
  </si>
  <si>
    <t>Conversor ADC</t>
  </si>
  <si>
    <t>U2</t>
  </si>
  <si>
    <t>ADS1115IDGST</t>
  </si>
  <si>
    <t>IC ethernet</t>
  </si>
  <si>
    <t>U3</t>
  </si>
  <si>
    <t>ENC28J60-I/SO</t>
  </si>
  <si>
    <t>Varistor</t>
  </si>
  <si>
    <t>VR1</t>
  </si>
  <si>
    <t>B72210S0351K101</t>
  </si>
  <si>
    <t>Cristal 25MHz</t>
  </si>
  <si>
    <t>Y1</t>
  </si>
  <si>
    <t>TSX-3225 25.0000MF10P-C0</t>
  </si>
  <si>
    <t>R20, R21</t>
  </si>
  <si>
    <t>RC0603JR-O7100KL</t>
  </si>
  <si>
    <t>Res 249</t>
  </si>
  <si>
    <t>R22</t>
  </si>
  <si>
    <t>ERJ-PB6D2490V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</si>
</sst>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&quot;$&quot;* #,##0_ ;_ &quot;$&quot;* \-#,##0_ ;_ &quot;$&quot;* &quot;-&quot;_ ;_ @_ 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7">
    <xf numFmtId="0" fontId="0" fillId="0" borderId="0" xfId="0"/>
    <xf numFmtId="3" fontId="0" fillId="0" borderId="0" xfId="0" applyNumberFormat="1"/>
    <xf numFmtId="0" fontId="0" fillId="0" borderId="1" xfId="0" applyBorder="1"/>
    <xf numFmtId="0" fontId="2" fillId="0" borderId="1" xfId="0" applyFont="1" applyBorder="1"/>
    <xf numFmtId="0" fontId="0" fillId="0" borderId="0" xfId="0" applyAlignment="1">
      <alignment horizontal="center"/>
    </xf>
    <xf numFmtId="164" fontId="0" fillId="0" borderId="2" xfId="1" applyFont="1" applyBorder="1"/>
    <xf numFmtId="164" fontId="2" fillId="0" borderId="2" xfId="1" applyFont="1" applyBorder="1"/>
    <xf numFmtId="0" fontId="0" fillId="0" borderId="1" xfId="0" applyBorder="1" applyAlignment="1">
      <alignment horizontal="center"/>
    </xf>
    <xf numFmtId="0" fontId="2" fillId="0" borderId="3" xfId="0" applyFont="1" applyBorder="1" applyAlignment="1">
      <alignment horizontal="left"/>
    </xf>
    <xf numFmtId="14" fontId="2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2" borderId="10" xfId="0" applyFont="1" applyFill="1" applyBorder="1"/>
    <xf numFmtId="0" fontId="3" fillId="2" borderId="12" xfId="0" applyFont="1" applyFill="1" applyBorder="1" applyAlignment="1">
      <alignment horizontal="center"/>
    </xf>
    <xf numFmtId="0" fontId="3" fillId="2" borderId="12" xfId="0" applyFont="1" applyFill="1" applyBorder="1"/>
    <xf numFmtId="0" fontId="3" fillId="2" borderId="9" xfId="0" applyFont="1" applyFill="1" applyBorder="1"/>
    <xf numFmtId="0" fontId="0" fillId="3" borderId="11" xfId="0" applyFill="1" applyBorder="1"/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 applyAlignment="1">
      <alignment horizontal="left"/>
    </xf>
    <xf numFmtId="0" fontId="0" fillId="3" borderId="2" xfId="0" applyFill="1" applyBorder="1" applyAlignment="1">
      <alignment horizontal="left" wrapText="1"/>
    </xf>
    <xf numFmtId="0" fontId="0" fillId="3" borderId="2" xfId="0" applyFill="1" applyBorder="1"/>
    <xf numFmtId="0" fontId="0" fillId="3" borderId="6" xfId="0" applyFill="1" applyBorder="1"/>
    <xf numFmtId="0" fontId="0" fillId="3" borderId="13" xfId="0" applyFill="1" applyBorder="1" applyAlignment="1">
      <alignment horizontal="center"/>
    </xf>
    <xf numFmtId="0" fontId="0" fillId="3" borderId="13" xfId="0" applyFill="1" applyBorder="1"/>
    <xf numFmtId="0" fontId="0" fillId="3" borderId="10" xfId="0" applyFill="1" applyBorder="1"/>
    <xf numFmtId="0" fontId="0" fillId="3" borderId="12" xfId="0" applyFill="1" applyBorder="1" applyAlignment="1">
      <alignment horizontal="center"/>
    </xf>
    <xf numFmtId="0" fontId="0" fillId="3" borderId="12" xfId="0" applyFill="1" applyBorder="1"/>
    <xf numFmtId="0" fontId="0" fillId="3" borderId="9" xfId="0" applyFill="1" applyBorder="1"/>
    <xf numFmtId="0" fontId="0" fillId="3" borderId="4" xfId="0" applyFill="1" applyBorder="1" applyAlignment="1">
      <alignment horizontal="left"/>
    </xf>
    <xf numFmtId="0" fontId="0" fillId="0" borderId="11" xfId="0" applyBorder="1"/>
    <xf numFmtId="0" fontId="0" fillId="0" borderId="2" xfId="0" applyBorder="1"/>
    <xf numFmtId="0" fontId="0" fillId="0" borderId="13" xfId="0" applyBorder="1" applyAlignment="1">
      <alignment horizontal="center"/>
    </xf>
    <xf numFmtId="0" fontId="0" fillId="0" borderId="13" xfId="0" applyBorder="1"/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</cellXfs>
  <cellStyles count="2">
    <cellStyle name="Currency [0]" xfId="1" builtinId="7"/>
    <cellStyle name="Normal" xfId="0" builtinId="0"/>
  </cellStyles>
  <dxfs count="9"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 tint="-0.499984740745262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BA31BA-0E5C-497A-B2C1-8FABDD93C06A}" name="Table1" displayName="Table1" ref="B8:E41" totalsRowShown="0" headerRowDxfId="8" dataDxfId="7" headerRowBorderDxfId="5" tableBorderDxfId="6" totalsRowBorderDxfId="4">
  <autoFilter ref="B8:E41" xr:uid="{53BA31BA-0E5C-497A-B2C1-8FABDD93C06A}"/>
  <sortState xmlns:xlrd2="http://schemas.microsoft.com/office/spreadsheetml/2017/richdata2" ref="B9:E36">
    <sortCondition ref="D8:D36"/>
  </sortState>
  <tableColumns count="4">
    <tableColumn id="1" xr3:uid="{A1121A31-913B-4104-93E0-10729AEBF6C5}" name="Descripción" dataDxfId="3"/>
    <tableColumn id="2" xr3:uid="{A57802E5-D9EB-4BC9-BE3B-5FA6DECABD83}" name="QTY" dataDxfId="2"/>
    <tableColumn id="3" xr3:uid="{F930C0AA-1A22-4852-A6CC-A213F9669CA5}" name="Referencia" dataDxfId="1"/>
    <tableColumn id="4" xr3:uid="{CF731A40-377B-439E-B120-C63BDE268313}" name="SKU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CB877-40AF-46EA-AE93-89EE4DFD2D5D}">
  <dimension ref="B2:F7"/>
  <sheetViews>
    <sheetView zoomScale="190" zoomScaleNormal="190" workbookViewId="0">
      <selection activeCell="F6" sqref="F6"/>
    </sheetView>
  </sheetViews>
  <sheetFormatPr defaultRowHeight="15"/>
  <cols>
    <col min="3" max="3" width="14" customWidth="1"/>
    <col min="4" max="4" width="12.28515625" bestFit="1" customWidth="1"/>
  </cols>
  <sheetData>
    <row r="2" spans="2:6">
      <c r="D2" s="2" t="s">
        <v>0</v>
      </c>
    </row>
    <row r="3" spans="2:6">
      <c r="B3" s="2" t="s">
        <v>1</v>
      </c>
      <c r="C3" s="5">
        <v>349980</v>
      </c>
      <c r="D3" s="7">
        <v>511512</v>
      </c>
    </row>
    <row r="4" spans="2:6">
      <c r="B4" s="2" t="s">
        <v>2</v>
      </c>
      <c r="C4" s="5">
        <v>1920360</v>
      </c>
      <c r="D4" s="7">
        <v>510713</v>
      </c>
    </row>
    <row r="5" spans="2:6">
      <c r="B5" s="2" t="s">
        <v>3</v>
      </c>
      <c r="C5" s="5">
        <v>1440270</v>
      </c>
      <c r="D5" s="7">
        <v>511519</v>
      </c>
    </row>
    <row r="6" spans="2:6">
      <c r="B6" s="3" t="s">
        <v>4</v>
      </c>
      <c r="C6" s="6">
        <f>SUM(C3:C5)</f>
        <v>3710610</v>
      </c>
      <c r="D6" s="2"/>
    </row>
    <row r="7" spans="2:6">
      <c r="F7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D37B8-2CE4-490A-ACDF-568BFB0EC06A}">
  <dimension ref="B1:F41"/>
  <sheetViews>
    <sheetView showGridLines="0" tabSelected="1" zoomScale="160" zoomScaleNormal="160" workbookViewId="0">
      <selection activeCell="G29" sqref="G29"/>
    </sheetView>
  </sheetViews>
  <sheetFormatPr defaultRowHeight="15"/>
  <cols>
    <col min="1" max="1" width="4.28515625" customWidth="1"/>
    <col min="2" max="2" width="26.140625" bestFit="1" customWidth="1"/>
    <col min="3" max="3" width="22.140625" style="4" bestFit="1" customWidth="1"/>
    <col min="4" max="4" width="32" bestFit="1" customWidth="1"/>
    <col min="5" max="5" width="25.140625" bestFit="1" customWidth="1"/>
  </cols>
  <sheetData>
    <row r="1" spans="2:6">
      <c r="B1" s="13"/>
      <c r="C1" s="14"/>
      <c r="D1" s="15"/>
      <c r="E1" s="16"/>
    </row>
    <row r="2" spans="2:6" ht="15.75">
      <c r="B2" s="44" t="s">
        <v>5</v>
      </c>
      <c r="C2" s="45"/>
      <c r="D2" s="45"/>
      <c r="E2" s="46"/>
    </row>
    <row r="3" spans="2:6">
      <c r="B3" s="17" t="s">
        <v>6</v>
      </c>
      <c r="C3" s="9">
        <f ca="1">TODAY()</f>
        <v>46205</v>
      </c>
      <c r="D3" s="10"/>
      <c r="E3" s="18"/>
    </row>
    <row r="4" spans="2:6">
      <c r="B4" s="17" t="s">
        <v>7</v>
      </c>
      <c r="C4" s="8" t="s">
        <v>8</v>
      </c>
      <c r="E4" s="19"/>
    </row>
    <row r="5" spans="2:6">
      <c r="B5" s="17" t="s">
        <v>9</v>
      </c>
      <c r="C5" s="8" t="s">
        <v>10</v>
      </c>
      <c r="E5" s="19"/>
    </row>
    <row r="6" spans="2:6">
      <c r="B6" s="17" t="s">
        <v>11</v>
      </c>
      <c r="C6" s="8" t="s">
        <v>12</v>
      </c>
      <c r="E6" s="19"/>
    </row>
    <row r="7" spans="2:6">
      <c r="B7" s="20"/>
      <c r="C7" s="12"/>
      <c r="D7" s="11"/>
      <c r="E7" s="21"/>
    </row>
    <row r="8" spans="2:6">
      <c r="B8" s="22" t="s">
        <v>13</v>
      </c>
      <c r="C8" s="23" t="s">
        <v>14</v>
      </c>
      <c r="D8" s="24" t="s">
        <v>15</v>
      </c>
      <c r="E8" s="25" t="s">
        <v>16</v>
      </c>
    </row>
    <row r="9" spans="2:6">
      <c r="B9" s="35" t="s">
        <v>17</v>
      </c>
      <c r="C9" s="36">
        <v>1</v>
      </c>
      <c r="D9" s="37" t="s">
        <v>18</v>
      </c>
      <c r="E9" s="38" t="s">
        <v>19</v>
      </c>
      <c r="F9" s="4"/>
    </row>
    <row r="10" spans="2:6">
      <c r="B10" s="26" t="s">
        <v>20</v>
      </c>
      <c r="C10" s="27">
        <v>2</v>
      </c>
      <c r="D10" s="28" t="s">
        <v>21</v>
      </c>
      <c r="E10" s="31" t="s">
        <v>22</v>
      </c>
      <c r="F10" s="4"/>
    </row>
    <row r="11" spans="2:6">
      <c r="B11" s="26" t="s">
        <v>23</v>
      </c>
      <c r="C11" s="27">
        <v>2</v>
      </c>
      <c r="D11" s="28" t="s">
        <v>24</v>
      </c>
      <c r="E11" s="31" t="s">
        <v>25</v>
      </c>
    </row>
    <row r="12" spans="2:6">
      <c r="B12" s="26" t="s">
        <v>26</v>
      </c>
      <c r="C12" s="27">
        <v>1</v>
      </c>
      <c r="D12" s="28" t="s">
        <v>27</v>
      </c>
      <c r="E12" s="31" t="s">
        <v>28</v>
      </c>
    </row>
    <row r="13" spans="2:6">
      <c r="B13" s="26" t="s">
        <v>29</v>
      </c>
      <c r="C13" s="27">
        <v>2</v>
      </c>
      <c r="D13" s="28" t="s">
        <v>30</v>
      </c>
      <c r="E13" s="31" t="s">
        <v>31</v>
      </c>
    </row>
    <row r="14" spans="2:6">
      <c r="B14" s="26" t="s">
        <v>32</v>
      </c>
      <c r="C14" s="27">
        <v>2</v>
      </c>
      <c r="D14" s="28" t="s">
        <v>33</v>
      </c>
      <c r="E14" s="30" t="s">
        <v>34</v>
      </c>
    </row>
    <row r="15" spans="2:6">
      <c r="B15" s="26" t="s">
        <v>35</v>
      </c>
      <c r="C15" s="27">
        <v>1</v>
      </c>
      <c r="D15" s="28" t="s">
        <v>36</v>
      </c>
      <c r="E15" s="31" t="s">
        <v>37</v>
      </c>
    </row>
    <row r="16" spans="2:6">
      <c r="B16" s="26" t="s">
        <v>38</v>
      </c>
      <c r="C16" s="27">
        <v>1</v>
      </c>
      <c r="D16" s="28" t="s">
        <v>39</v>
      </c>
      <c r="E16" s="29" t="s">
        <v>40</v>
      </c>
    </row>
    <row r="17" spans="2:5">
      <c r="B17" s="26" t="s">
        <v>41</v>
      </c>
      <c r="C17" s="27">
        <v>1</v>
      </c>
      <c r="D17" s="28" t="s">
        <v>42</v>
      </c>
      <c r="E17" s="31" t="s">
        <v>43</v>
      </c>
    </row>
    <row r="18" spans="2:5">
      <c r="B18" s="26" t="s">
        <v>44</v>
      </c>
      <c r="C18" s="27">
        <v>2</v>
      </c>
      <c r="D18" s="28" t="s">
        <v>45</v>
      </c>
      <c r="E18" s="31" t="s">
        <v>46</v>
      </c>
    </row>
    <row r="19" spans="2:5">
      <c r="B19" s="26" t="s">
        <v>47</v>
      </c>
      <c r="C19" s="27">
        <v>1</v>
      </c>
      <c r="D19" s="28" t="s">
        <v>48</v>
      </c>
      <c r="E19" s="29">
        <v>36912000000</v>
      </c>
    </row>
    <row r="20" spans="2:5">
      <c r="B20" s="26" t="s">
        <v>49</v>
      </c>
      <c r="C20" s="27">
        <v>1</v>
      </c>
      <c r="D20" s="28" t="s">
        <v>50</v>
      </c>
      <c r="E20" s="31" t="s">
        <v>51</v>
      </c>
    </row>
    <row r="21" spans="2:5">
      <c r="B21" s="26" t="s">
        <v>52</v>
      </c>
      <c r="C21" s="27">
        <v>2</v>
      </c>
      <c r="D21" s="28" t="s">
        <v>53</v>
      </c>
      <c r="E21" s="29">
        <v>1985030</v>
      </c>
    </row>
    <row r="22" spans="2:5">
      <c r="B22" s="26" t="s">
        <v>54</v>
      </c>
      <c r="C22" s="27">
        <v>1</v>
      </c>
      <c r="D22" s="28" t="s">
        <v>55</v>
      </c>
      <c r="E22" s="29">
        <v>22292021</v>
      </c>
    </row>
    <row r="23" spans="2:5">
      <c r="B23" s="26" t="s">
        <v>56</v>
      </c>
      <c r="C23" s="27">
        <v>1</v>
      </c>
      <c r="D23" s="28" t="s">
        <v>57</v>
      </c>
      <c r="E23" s="29">
        <v>1664077</v>
      </c>
    </row>
    <row r="24" spans="2:5">
      <c r="B24" s="26" t="s">
        <v>58</v>
      </c>
      <c r="C24" s="27">
        <v>1</v>
      </c>
      <c r="D24" s="28" t="s">
        <v>59</v>
      </c>
      <c r="E24" s="29" t="s">
        <v>60</v>
      </c>
    </row>
    <row r="25" spans="2:5">
      <c r="B25" s="26" t="s">
        <v>61</v>
      </c>
      <c r="C25" s="27">
        <v>1</v>
      </c>
      <c r="D25" s="28" t="s">
        <v>62</v>
      </c>
      <c r="E25" s="31" t="s">
        <v>63</v>
      </c>
    </row>
    <row r="26" spans="2:5">
      <c r="B26" s="26" t="s">
        <v>64</v>
      </c>
      <c r="C26" s="27">
        <v>1</v>
      </c>
      <c r="D26" s="28" t="s">
        <v>65</v>
      </c>
      <c r="E26" s="31" t="s">
        <v>66</v>
      </c>
    </row>
    <row r="27" spans="2:5">
      <c r="B27" s="26" t="s">
        <v>67</v>
      </c>
      <c r="C27" s="27">
        <v>2</v>
      </c>
      <c r="D27" s="28" t="s">
        <v>68</v>
      </c>
      <c r="E27" s="31" t="s">
        <v>69</v>
      </c>
    </row>
    <row r="28" spans="2:5">
      <c r="B28" s="26" t="s">
        <v>70</v>
      </c>
      <c r="C28" s="27">
        <v>1</v>
      </c>
      <c r="D28" s="28" t="s">
        <v>71</v>
      </c>
      <c r="E28" s="29" t="s">
        <v>72</v>
      </c>
    </row>
    <row r="29" spans="2:5">
      <c r="B29" s="26" t="s">
        <v>73</v>
      </c>
      <c r="C29" s="27">
        <v>2</v>
      </c>
      <c r="D29" s="28" t="s">
        <v>74</v>
      </c>
      <c r="E29" s="31" t="s">
        <v>75</v>
      </c>
    </row>
    <row r="30" spans="2:5">
      <c r="B30" s="40" t="s">
        <v>76</v>
      </c>
      <c r="C30" s="7">
        <v>7</v>
      </c>
      <c r="D30" s="2" t="s">
        <v>77</v>
      </c>
      <c r="E30" s="41" t="s">
        <v>78</v>
      </c>
    </row>
    <row r="31" spans="2:5">
      <c r="B31" s="26" t="s">
        <v>79</v>
      </c>
      <c r="C31" s="27">
        <v>1</v>
      </c>
      <c r="D31" s="28" t="s">
        <v>80</v>
      </c>
      <c r="E31" s="31" t="s">
        <v>81</v>
      </c>
    </row>
    <row r="32" spans="2:5">
      <c r="B32" s="26" t="s">
        <v>82</v>
      </c>
      <c r="C32" s="27">
        <v>4</v>
      </c>
      <c r="D32" s="28" t="s">
        <v>83</v>
      </c>
      <c r="E32" s="29" t="s">
        <v>84</v>
      </c>
    </row>
    <row r="33" spans="2:5">
      <c r="B33" s="26" t="s">
        <v>85</v>
      </c>
      <c r="C33" s="27">
        <v>6</v>
      </c>
      <c r="D33" s="28" t="s">
        <v>86</v>
      </c>
      <c r="E33" s="31" t="s">
        <v>87</v>
      </c>
    </row>
    <row r="34" spans="2:5">
      <c r="B34" s="26" t="s">
        <v>88</v>
      </c>
      <c r="C34" s="27">
        <v>1</v>
      </c>
      <c r="D34" s="28" t="s">
        <v>89</v>
      </c>
      <c r="E34" s="31" t="s">
        <v>90</v>
      </c>
    </row>
    <row r="35" spans="2:5">
      <c r="B35" s="26" t="s">
        <v>91</v>
      </c>
      <c r="C35" s="27">
        <v>1</v>
      </c>
      <c r="D35" s="28" t="s">
        <v>92</v>
      </c>
      <c r="E35" s="31" t="s">
        <v>93</v>
      </c>
    </row>
    <row r="36" spans="2:5">
      <c r="B36" s="26" t="s">
        <v>94</v>
      </c>
      <c r="C36" s="27">
        <v>1</v>
      </c>
      <c r="D36" s="28" t="s">
        <v>95</v>
      </c>
      <c r="E36" s="29" t="s">
        <v>96</v>
      </c>
    </row>
    <row r="37" spans="2:5">
      <c r="B37" s="26" t="s">
        <v>97</v>
      </c>
      <c r="C37" s="27">
        <v>1</v>
      </c>
      <c r="D37" s="28" t="s">
        <v>98</v>
      </c>
      <c r="E37" s="29" t="s">
        <v>99</v>
      </c>
    </row>
    <row r="38" spans="2:5">
      <c r="B38" s="26" t="s">
        <v>100</v>
      </c>
      <c r="C38" s="27">
        <v>1</v>
      </c>
      <c r="D38" s="28" t="s">
        <v>101</v>
      </c>
      <c r="E38" s="29" t="s">
        <v>102</v>
      </c>
    </row>
    <row r="39" spans="2:5">
      <c r="B39" s="32" t="s">
        <v>103</v>
      </c>
      <c r="C39" s="33">
        <v>1</v>
      </c>
      <c r="D39" s="34" t="s">
        <v>104</v>
      </c>
      <c r="E39" s="39" t="s">
        <v>105</v>
      </c>
    </row>
    <row r="40" spans="2:5">
      <c r="B40" s="16" t="s">
        <v>88</v>
      </c>
      <c r="C40" s="42">
        <v>2</v>
      </c>
      <c r="D40" s="43" t="s">
        <v>106</v>
      </c>
      <c r="E40" s="13" t="s">
        <v>107</v>
      </c>
    </row>
    <row r="41" spans="2:5">
      <c r="B41" s="16" t="s">
        <v>108</v>
      </c>
      <c r="C41" s="42">
        <v>1</v>
      </c>
      <c r="D41" s="43" t="s">
        <v>109</v>
      </c>
      <c r="E41" s="13" t="s">
        <v>110</v>
      </c>
    </row>
  </sheetData>
  <mergeCells count="1">
    <mergeCell ref="B2:E2"/>
  </mergeCells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3EA7856A14F94BBFFBD7F075C3D3BA" ma:contentTypeVersion="15" ma:contentTypeDescription="Crear nuevo documento." ma:contentTypeScope="" ma:versionID="401f0197f6ef0251f842544f6414171e">
  <xsd:schema xmlns:xsd="http://www.w3.org/2001/XMLSchema" xmlns:xs="http://www.w3.org/2001/XMLSchema" xmlns:p="http://schemas.microsoft.com/office/2006/metadata/properties" xmlns:ns2="6783ebf3-3914-4039-820c-95bb94d75250" xmlns:ns3="14380339-d3e1-4101-bc25-8615368b058f" targetNamespace="http://schemas.microsoft.com/office/2006/metadata/properties" ma:root="true" ma:fieldsID="78135c5ee0b7e4fa443f6ad7f762f625" ns2:_="" ns3:_="">
    <xsd:import namespace="6783ebf3-3914-4039-820c-95bb94d75250"/>
    <xsd:import namespace="14380339-d3e1-4101-bc25-8615368b058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83ebf3-3914-4039-820c-95bb94d752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2a31a6ed-0b38-4c25-9dbf-18b5bdf1a1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380339-d3e1-4101-bc25-8615368b058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3845208-be28-49b0-aad4-5bcad9d12ac5}" ma:internalName="TaxCatchAll" ma:showField="CatchAllData" ma:web="14380339-d3e1-4101-bc25-8615368b058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783ebf3-3914-4039-820c-95bb94d75250">
      <Terms xmlns="http://schemas.microsoft.com/office/infopath/2007/PartnerControls"/>
    </lcf76f155ced4ddcb4097134ff3c332f>
    <TaxCatchAll xmlns="14380339-d3e1-4101-bc25-8615368b058f" xsi:nil="true"/>
  </documentManagement>
</p:properties>
</file>

<file path=customXml/itemProps1.xml><?xml version="1.0" encoding="utf-8"?>
<ds:datastoreItem xmlns:ds="http://schemas.openxmlformats.org/officeDocument/2006/customXml" ds:itemID="{6C6BEA69-0F08-45F7-9C00-C6B1F7A884B8}"/>
</file>

<file path=customXml/itemProps2.xml><?xml version="1.0" encoding="utf-8"?>
<ds:datastoreItem xmlns:ds="http://schemas.openxmlformats.org/officeDocument/2006/customXml" ds:itemID="{BB2A5A6A-C7EE-4DD3-9D33-0566F59C5BBB}"/>
</file>

<file path=customXml/itemProps3.xml><?xml version="1.0" encoding="utf-8"?>
<ds:datastoreItem xmlns:ds="http://schemas.openxmlformats.org/officeDocument/2006/customXml" ds:itemID="{4BD4E90A-6751-4B19-BA73-D1200346F2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Muñoz</dc:creator>
  <cp:keywords/>
  <dc:description/>
  <cp:lastModifiedBy>ing.diego.munoz</cp:lastModifiedBy>
  <cp:revision/>
  <dcterms:created xsi:type="dcterms:W3CDTF">2026-03-05T15:38:48Z</dcterms:created>
  <dcterms:modified xsi:type="dcterms:W3CDTF">2026-07-02T14:20:32Z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0x010100243EA7856A14F94BBFFBD7F075C3D3BA</vt:lpwstr>
  </property>
</Properties>
</file>